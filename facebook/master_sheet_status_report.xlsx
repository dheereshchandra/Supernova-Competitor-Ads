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tus 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<sst xmlns="http://schemas.openxmlformats.org/spreadsheetml/2006/main" count="28" uniqueCount="28">
  <si>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Master sheet status — summary</t>
  </si>
  <si>
    <t xml:space="preserve">Master sheets</t>
  </si>
  <si>
    <t xml:space="preserve">Total rows (ads)</t>
  </si>
  <si>
    <t xml:space="preserve">Competitor analyses completed</t>
  </si>
  <si>
    <t xml:space="preserve">Supernova rewrites completed</t>
  </si>
  <si>
    <t xml:space="preserve">Both completed</t>
  </si>
  <si>
    <t xml:space="preserve">Coverage %</t>
  </si>
  <si>
    <t xml:space="preserve">Competitor</t>
  </si>
  <si>
    <t xml:space="preserve">Total rows</t>
  </si>
  <si>
    <t xml:space="preserve">Competitor analyses done</t>
  </si>
  <si>
    <t xml:space="preserve">Supernova rewrites done</t>
  </si>
  <si>
    <t xml:space="preserve">Both done</t>
  </si>
  <si>
    <t xml:space="preserve">% covered</t>
  </si>
  <si>
    <t xml:space="preserve">boldvoice</t>
  </si>
  <si>
    <t xml:space="preserve">duolingo</t>
  </si>
  <si>
    <t xml:space="preserve">english-seekho</t>
  </si>
  <si>
    <t xml:space="preserve">englishbhashi</t>
  </si>
  <si>
    <t xml:space="preserve">ewa</t>
  </si>
  <si>
    <t xml:space="preserve">fluently</t>
  </si>
  <si>
    <t xml:space="preserve">loora</t>
  </si>
  <si>
    <t xml:space="preserve">memrise</t>
  </si>
  <si>
    <t xml:space="preserve">mysivi</t>
  </si>
  <si>
    <t xml:space="preserve">praktika-ai</t>
  </si>
  <si>
    <t xml:space="preserve">speak</t>
  </si>
  <si>
    <t xml:space="preserve">speakx</t>
  </si>
  <si>
    <t xml:space="preserve">wispr-flow</t>
  </si>
  <si>
    <t xml:space="preserve">zinglish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</si>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</sst>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14</v>
      </c>
    </row>
    <row r="4" customFormat="false" ht="15" hidden="false" customHeight="false" outlineLevel="0" collapsed="false">
      <c r="A4" s="2" t="s">
        <v>2</v>
      </c>
      <c r="B4" s="3" t="n">
        <f aca="false">'Status report'!B16</f>
        <v>6926</v>
      </c>
    </row>
    <row r="5" customFormat="false" ht="15" hidden="false" customHeight="false" outlineLevel="0" collapsed="false">
      <c r="A5" s="2" t="s">
        <v>3</v>
      </c>
      <c r="B5" s="3" t="n">
        <f aca="false">'Status report'!C16</f>
        <v>232</v>
      </c>
    </row>
    <row r="6" customFormat="false" ht="15" hidden="false" customHeight="false" outlineLevel="0" collapsed="false">
      <c r="A6" s="2" t="s">
        <v>4</v>
      </c>
      <c r="B6" s="3" t="n">
        <f aca="false">'Status report'!D16</f>
        <v>232</v>
      </c>
    </row>
    <row r="7" customFormat="false" ht="15" hidden="false" customHeight="false" outlineLevel="0" collapsed="false">
      <c r="A7" s="2" t="s">
        <v>5</v>
      </c>
      <c r="B7" s="3" t="n">
        <f aca="false">'Status report'!E16</f>
        <v>232</v>
      </c>
    </row>
    <row r="8" customFormat="false" ht="15" hidden="false" customHeight="false" outlineLevel="0" collapsed="false">
      <c r="A8" s="2" t="s">
        <v>6</v>
      </c>
      <c r="B8" s="4" t="n">
        <f aca="false">'Status report'!F16</f>
        <v>0.0334969679468669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2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 customFormat="false" ht="15" hidden="false" customHeight="false" outlineLevel="0" collapsed="false">
      <c r="A2" s="6" t="s">
        <v>13</v>
      </c>
      <c r="B2" s="7" t="n">
        <v>156</v>
      </c>
      <c r="C2" s="7" t="n">
        <v>20</v>
      </c>
      <c r="D2" s="7" t="n">
        <v>20</v>
      </c>
      <c r="E2" s="7" t="n">
        <v>20</v>
      </c>
      <c r="F2" s="8" t="n">
        <f aca="false">IF(B2=0,0,E2/B2)</f>
        <v>0.128205128205128</v>
      </c>
    </row>
    <row r="3" customFormat="false" ht="15" hidden="false" customHeight="false" outlineLevel="0" collapsed="false">
      <c r="A3" s="6" t="s">
        <v>14</v>
      </c>
      <c r="B3" s="7" t="n">
        <v>29</v>
      </c>
      <c r="C3" s="7" t="n">
        <v>20</v>
      </c>
      <c r="D3" s="7" t="n">
        <v>20</v>
      </c>
      <c r="E3" s="7" t="n">
        <v>20</v>
      </c>
      <c r="F3" s="8" t="n">
        <f aca="false">IF(B3=0,0,E3/B3)</f>
        <v>0.689655172413793</v>
      </c>
    </row>
    <row r="4" customFormat="false" ht="15" hidden="false" customHeight="false" outlineLevel="0" collapsed="false">
      <c r="A4" s="6" t="s">
        <v>15</v>
      </c>
      <c r="B4" s="7" t="n">
        <v>289</v>
      </c>
      <c r="C4" s="7" t="n">
        <v>24</v>
      </c>
      <c r="D4" s="7" t="n">
        <v>24</v>
      </c>
      <c r="E4" s="7" t="n">
        <v>24</v>
      </c>
      <c r="F4" s="8" t="n">
        <f aca="false">IF(B4=0,0,E4/B4)</f>
        <v>0.0830449826989619</v>
      </c>
    </row>
    <row r="5" customFormat="false" ht="15" hidden="false" customHeight="false" outlineLevel="0" collapsed="false">
      <c r="A5" s="6" t="s">
        <v>16</v>
      </c>
      <c r="B5" s="7" t="n">
        <v>1</v>
      </c>
      <c r="C5" s="7" t="n">
        <v>1</v>
      </c>
      <c r="D5" s="7" t="n">
        <v>1</v>
      </c>
      <c r="E5" s="7" t="n">
        <v>1</v>
      </c>
      <c r="F5" s="8" t="n">
        <f aca="false">IF(B5=0,0,E5/B5)</f>
        <v>1</v>
      </c>
    </row>
    <row r="6" customFormat="false" ht="15" hidden="false" customHeight="false" outlineLevel="0" collapsed="false">
      <c r="A6" s="6" t="s">
        <v>17</v>
      </c>
      <c r="B6" s="7" t="n">
        <v>1515</v>
      </c>
      <c r="C6" s="7" t="n">
        <v>20</v>
      </c>
      <c r="D6" s="7" t="n">
        <v>20</v>
      </c>
      <c r="E6" s="7" t="n">
        <v>20</v>
      </c>
      <c r="F6" s="8" t="n">
        <f aca="false">IF(B6=0,0,E6/B6)</f>
        <v>0.0132013201320132</v>
      </c>
    </row>
    <row r="7" customFormat="false" ht="15" hidden="false" customHeight="false" outlineLevel="0" collapsed="false">
      <c r="A7" s="6" t="s">
        <v>18</v>
      </c>
      <c r="B7" s="7" t="n">
        <v>298</v>
      </c>
      <c r="C7" s="7" t="n">
        <v>20</v>
      </c>
      <c r="D7" s="7" t="n">
        <v>20</v>
      </c>
      <c r="E7" s="7" t="n">
        <v>20</v>
      </c>
      <c r="F7" s="8" t="n">
        <f aca="false">IF(B7=0,0,E7/B7)</f>
        <v>0.0671140939597315</v>
      </c>
    </row>
    <row r="8" customFormat="false" ht="15" hidden="false" customHeight="false" outlineLevel="0" collapsed="false">
      <c r="A8" s="6" t="s">
        <v>19</v>
      </c>
      <c r="B8" s="7" t="n">
        <v>51</v>
      </c>
      <c r="C8" s="7" t="n">
        <v>20</v>
      </c>
      <c r="D8" s="7" t="n">
        <v>20</v>
      </c>
      <c r="E8" s="7" t="n">
        <v>20</v>
      </c>
      <c r="F8" s="8" t="n">
        <f aca="false">IF(B8=0,0,E8/B8)</f>
        <v>0.392156862745098</v>
      </c>
    </row>
    <row r="9" customFormat="false" ht="15" hidden="false" customHeight="false" outlineLevel="0" collapsed="false">
      <c r="A9" s="6" t="s">
        <v>20</v>
      </c>
      <c r="B9" s="7" t="n">
        <v>2</v>
      </c>
      <c r="C9" s="7" t="n">
        <v>2</v>
      </c>
      <c r="D9" s="7" t="n">
        <v>2</v>
      </c>
      <c r="E9" s="7" t="n">
        <v>2</v>
      </c>
      <c r="F9" s="8" t="n">
        <f aca="false">IF(B9=0,0,E9/B9)</f>
        <v>1</v>
      </c>
    </row>
    <row r="10" customFormat="false" ht="15" hidden="false" customHeight="false" outlineLevel="0" collapsed="false">
      <c r="A10" s="6" t="s">
        <v>21</v>
      </c>
      <c r="B10" s="7" t="n">
        <v>1531</v>
      </c>
      <c r="C10" s="7" t="n">
        <v>20</v>
      </c>
      <c r="D10" s="7" t="n">
        <v>20</v>
      </c>
      <c r="E10" s="7" t="n">
        <v>20</v>
      </c>
      <c r="F10" s="8" t="n">
        <f aca="false">IF(B10=0,0,E10/B10)</f>
        <v>0.0130633572828217</v>
      </c>
    </row>
    <row r="11" customFormat="false" ht="15" hidden="false" customHeight="false" outlineLevel="0" collapsed="false">
      <c r="A11" s="6" t="s">
        <v>22</v>
      </c>
      <c r="B11" s="7" t="n">
        <v>1752</v>
      </c>
      <c r="C11" s="7" t="n">
        <v>20</v>
      </c>
      <c r="D11" s="7" t="n">
        <v>20</v>
      </c>
      <c r="E11" s="7" t="n">
        <v>20</v>
      </c>
      <c r="F11" s="8" t="n">
        <f aca="false">IF(B11=0,0,E11/B11)</f>
        <v>0.0114155251141553</v>
      </c>
    </row>
    <row r="12" customFormat="false" ht="15" hidden="false" customHeight="false" outlineLevel="0" collapsed="false">
      <c r="A12" s="6" t="s">
        <v>23</v>
      </c>
      <c r="B12" s="7" t="n">
        <v>638</v>
      </c>
      <c r="C12" s="7" t="n">
        <v>20</v>
      </c>
      <c r="D12" s="7" t="n">
        <v>20</v>
      </c>
      <c r="E12" s="7" t="n">
        <v>20</v>
      </c>
      <c r="F12" s="8" t="n">
        <f aca="false">IF(B12=0,0,E12/B12)</f>
        <v>0.0313479623824451</v>
      </c>
    </row>
    <row r="13" customFormat="false" ht="15" hidden="false" customHeight="false" outlineLevel="0" collapsed="false">
      <c r="A13" s="6" t="s">
        <v>24</v>
      </c>
      <c r="B13" s="7" t="n">
        <v>188</v>
      </c>
      <c r="C13" s="7" t="n">
        <v>20</v>
      </c>
      <c r="D13" s="7" t="n">
        <v>20</v>
      </c>
      <c r="E13" s="7" t="n">
        <v>20</v>
      </c>
      <c r="F13" s="8" t="n">
        <f aca="false">IF(B13=0,0,E13/B13)</f>
        <v>0.106382978723404</v>
      </c>
    </row>
    <row r="14" customFormat="false" ht="15" hidden="false" customHeight="false" outlineLevel="0" collapsed="false">
      <c r="A14" s="6" t="s">
        <v>25</v>
      </c>
      <c r="B14" s="7" t="n">
        <v>445</v>
      </c>
      <c r="C14" s="7" t="n">
        <v>20</v>
      </c>
      <c r="D14" s="7" t="n">
        <v>20</v>
      </c>
      <c r="E14" s="7" t="n">
        <v>20</v>
      </c>
      <c r="F14" s="8" t="n">
        <f aca="false">IF(B14=0,0,E14/B14)</f>
        <v>0.0449438202247191</v>
      </c>
    </row>
    <row r="15" customFormat="false" ht="15" hidden="false" customHeight="false" outlineLevel="0" collapsed="false">
      <c r="A15" s="6" t="s">
        <v>26</v>
      </c>
      <c r="B15" s="7" t="n">
        <v>31</v>
      </c>
      <c r="C15" s="7" t="n">
        <v>5</v>
      </c>
      <c r="D15" s="7" t="n">
        <v>5</v>
      </c>
      <c r="E15" s="7" t="n">
        <v>5</v>
      </c>
      <c r="F15" s="8" t="n">
        <f aca="false">IF(B15=0,0,E15/B15)</f>
        <v>0.161290322580645</v>
      </c>
    </row>
    <row r="16" customFormat="false" ht="15" hidden="false" customHeight="false" outlineLevel="0" collapsed="false">
      <c r="A16" s="9" t="s">
        <v>27</v>
      </c>
      <c r="B16" s="10" t="n">
        <f aca="false">SUM(B2:B15)</f>
        <v>6926</v>
      </c>
      <c r="C16" s="10" t="n">
        <f aca="false">SUM(C2:C15)</f>
        <v>232</v>
      </c>
      <c r="D16" s="10" t="n">
        <f aca="false">SUM(D2:D15)</f>
        <v>232</v>
      </c>
      <c r="E16" s="10" t="n">
        <f aca="false">SUM(E2:E15)</f>
        <v>232</v>
      </c>
      <c r="F16" s="11" t="n">
        <f aca="false">IF(B16=0,0,E16/B16)</f>
        <v>0.0334969679468669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2026-05-28T17:56:56Z</dcterms:created>
  <dc:creator>openpyxl</dc:creator>
  <dc:description/>
  <dc:language>en-US</dc:language>
  <cp:lastModifiedBy/>
  <dcterms:modified xsi:type="dcterms:W3CDTF">2026-05-28T17:56:56Z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